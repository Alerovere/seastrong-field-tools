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Purchase list" sheetId="2" state="visible" r:id="rId4"/>
  </sheets>
  <definedNames>
    <definedName function="false" hidden="true" localSheetId="1" name="_xlnm._FilterDatabase" vbProcedure="false">'Purchase list'!$A$4:$K$48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Quantities are for one field team (one set of equipment). Blue = suggested quantity; change it if you have several teams or already own the item.</t>
        </r>
      </text>
    </comment>
  </commentList>
</comments>
</file>

<file path=xl/sharedStrings.xml><?xml version="1.0" encoding="utf-8"?>
<sst xmlns="http://schemas.openxmlformats.org/spreadsheetml/2006/main" count="246" uniqueCount="169">
  <si>
    <t xml:space="preserve">How to use this list</t>
  </si>
  <si>
    <t xml:space="preserve">1. Quantities in column E are for one field team; multiply for several teams, or reduce where the item is already available.</t>
  </si>
  <si>
    <t xml:space="preserve">2. Fill in the yellow cells: unit price (€), supplier and purchased (Y/N). Totals update automatically.</t>
  </si>
  <si>
    <t xml:space="preserve">3. Example of a filled row: Fibreglass measuring tape 30 m | Qty 2 | Unit price 25.00 | Total 50.00 | Supplier: local hardware store | Purchased: Y (illustrative values).</t>
  </si>
  <si>
    <t xml:space="preserve">Scope</t>
  </si>
  <si>
    <t xml:space="preserve">Equipment for the reef photogrammetry, mangrove structure and topography, and seagrass surveys described in the SEASTRONG Field Processing Tools documentation (seastrong-field-tools.readthedocs.io): Underwater Photogrammetry, Mangrove Structure and Topography, and Seagrass Structure and Bathymetry pages.</t>
  </si>
  <si>
    <t xml:space="preserve">Not included: pressure sensors, barometric reference loggers and their mounts (wave-attenuation deployment), boats, dive equipment beyond snorkel sets, and laptops.</t>
  </si>
  <si>
    <t xml:space="preserve">Notes</t>
  </si>
  <si>
    <t xml:space="preserve">Cameras: both cameras must be the same model. Settings are on the Underwater Photogrammetry page (Timelapse, 0.5 s, Linear, JPEG).</t>
  </si>
  <si>
    <t xml:space="preserve">Scale bars: print the targets from Agisoft Metashape, use the same target type for all bars, and measure the centre-to-centre distance of each bar once in the lab (bar list).</t>
  </si>
  <si>
    <t xml:space="preserve">RTK GNSS: needed only once per site to tie the topography to a vertical datum; borrow or rent rather than buy where possible.</t>
  </si>
  <si>
    <t xml:space="preserve">Metashape licence: only needed if the partner processes the photos.</t>
  </si>
  <si>
    <t xml:space="preserve">SEASTRONG field surveys: equipment purchase list (reef, mangrove and seagrass)</t>
  </si>
  <si>
    <t xml:space="preserve">Quantities are for one field team. Yellow cells are for partners to fill in. Pressure sensors and barometric loggers are not included.</t>
  </si>
  <si>
    <t xml:space="preserve">#</t>
  </si>
  <si>
    <t xml:space="preserve">Category</t>
  </si>
  <si>
    <t xml:space="preserve">Item</t>
  </si>
  <si>
    <t xml:space="preserve">Used for</t>
  </si>
  <si>
    <t xml:space="preserve">Qty per team</t>
  </si>
  <si>
    <t xml:space="preserve">Specification / example</t>
  </si>
  <si>
    <t xml:space="preserve">Unit price (€)</t>
  </si>
  <si>
    <t xml:space="preserve">Total (€)</t>
  </si>
  <si>
    <t xml:space="preserve">Supplier</t>
  </si>
  <si>
    <t xml:space="preserve">Purchased (Y/N)</t>
  </si>
  <si>
    <t xml:space="preserve">General (all surveys)</t>
  </si>
  <si>
    <t xml:space="preserve">Fibreglass measuring tape, 30 m, open reel</t>
  </si>
  <si>
    <t xml:space="preserve">Reef, Mangrove, Seagrass</t>
  </si>
  <si>
    <t xml:space="preserve">Fibreglass, metric, open reel; one spare</t>
  </si>
  <si>
    <t xml:space="preserve">Transect tape laid between the two sensors</t>
  </si>
  <si>
    <t xml:space="preserve">Fibreglass measuring tape, 50 m</t>
  </si>
  <si>
    <t xml:space="preserve">Mangrove, Seagrass</t>
  </si>
  <si>
    <t xml:space="preserve">Fibreglass, metric</t>
  </si>
  <si>
    <t xml:space="preserve">Topography / depth profile from the low-water mark to 5–10 m beyond the 30 m mark</t>
  </si>
  <si>
    <t xml:space="preserve">Sighting compass</t>
  </si>
  <si>
    <t xml:space="preserve">Handheld, 1° graduation</t>
  </si>
  <si>
    <t xml:space="preserve">Bearing of the transect</t>
  </si>
  <si>
    <t xml:space="preserve">Handheld GPS</t>
  </si>
  <si>
    <t xml:space="preserve">Any handheld unit</t>
  </si>
  <si>
    <t xml:space="preserve">Approximate location of the 0 m end; a phone is acceptable</t>
  </si>
  <si>
    <t xml:space="preserve">Waterproof watch</t>
  </si>
  <si>
    <t xml:space="preserve">Digital, water resistant</t>
  </si>
  <si>
    <t xml:space="preserve">Set to UTC with cameras and sensors; time of depth readings</t>
  </si>
  <si>
    <t xml:space="preserve">Underwater slate with pencils</t>
  </si>
  <si>
    <t xml:space="preserve">A4 slate, spare pencils</t>
  </si>
  <si>
    <t xml:space="preserve">Field sheet; one per operator</t>
  </si>
  <si>
    <t xml:space="preserve">Waterproof field notebook</t>
  </si>
  <si>
    <t xml:space="preserve">Mangrove</t>
  </si>
  <si>
    <t xml:space="preserve">Waterproof paper</t>
  </si>
  <si>
    <t xml:space="preserve">Tree and quadrat data in the mangrove</t>
  </si>
  <si>
    <t xml:space="preserve">Stakes / tent pegs</t>
  </si>
  <si>
    <t xml:space="preserve">Metal, ~25 cm</t>
  </si>
  <si>
    <t xml:space="preserve">Anchor the tape ends and plot corners</t>
  </si>
  <si>
    <t xml:space="preserve">Dive weights, 1 kg</t>
  </si>
  <si>
    <t xml:space="preserve">Reef, Seagrass</t>
  </si>
  <si>
    <t xml:space="preserve">Soft or lead</t>
  </si>
  <si>
    <t xml:space="preserve">Hold tape and scale bars on the bottom</t>
  </si>
  <si>
    <t xml:space="preserve">Snorkel set (mask, snorkel, fins)</t>
  </si>
  <si>
    <t xml:space="preserve">One per operator</t>
  </si>
  <si>
    <t xml:space="preserve">Only if not already available</t>
  </si>
  <si>
    <t xml:space="preserve">Depth gauge or dive computer</t>
  </si>
  <si>
    <t xml:space="preserve">0.1 m resolution</t>
  </si>
  <si>
    <t xml:space="preserve">Depth at targets (reef) and depth profile (seagrass)</t>
  </si>
  <si>
    <t xml:space="preserve">Dry bags, cable ties, duct tape</t>
  </si>
  <si>
    <t xml:space="preserve">Set</t>
  </si>
  <si>
    <t xml:space="preserve">General field consumables</t>
  </si>
  <si>
    <t xml:space="preserve">Cameras</t>
  </si>
  <si>
    <t xml:space="preserve">Action camera (GoPro HERO10 Black or newer)</t>
  </si>
  <si>
    <t xml:space="preserve">Reef, Mangrove</t>
  </si>
  <si>
    <t xml:space="preserve">Both cameras the same model; GoPro Labs firmware</t>
  </si>
  <si>
    <t xml:space="preserve">Two-camera rig; also used for quadrat photos</t>
  </si>
  <si>
    <t xml:space="preserve">Protective dive housing for the camera</t>
  </si>
  <si>
    <t xml:space="preserve">Reef</t>
  </si>
  <si>
    <t xml:space="preserve">Matching the camera model</t>
  </si>
  <si>
    <t xml:space="preserve">Underwater surveys</t>
  </si>
  <si>
    <t xml:space="preserve">Red/magenta dive filter</t>
  </si>
  <si>
    <t xml:space="preserve">Fits the housing</t>
  </si>
  <si>
    <t xml:space="preserve">Colour correction at 1–3 m depth</t>
  </si>
  <si>
    <t xml:space="preserve">microSD card, 128 GB</t>
  </si>
  <si>
    <t xml:space="preserve">V30 / U3 or faster</t>
  </si>
  <si>
    <t xml:space="preserve">Timelapse at 0.5 s fills cards quickly</t>
  </si>
  <si>
    <t xml:space="preserve">Spare camera battery</t>
  </si>
  <si>
    <t xml:space="preserve">Original or compatible</t>
  </si>
  <si>
    <t xml:space="preserve">Plus one dual charger (next row)</t>
  </si>
  <si>
    <t xml:space="preserve">Dual battery charger</t>
  </si>
  <si>
    <t xml:space="preserve">USB</t>
  </si>
  <si>
    <t xml:space="preserve">Anti-fog inserts</t>
  </si>
  <si>
    <t xml:space="preserve">Pack</t>
  </si>
  <si>
    <t xml:space="preserve">Prevents fogging of the housings</t>
  </si>
  <si>
    <t xml:space="preserve">Camera rig</t>
  </si>
  <si>
    <t xml:space="preserve">Rigid bar for the camera rig</t>
  </si>
  <si>
    <t xml:space="preserve">PVC pipe or aluminium bar, ~1 m long</t>
  </si>
  <si>
    <t xml:space="preserve">One long (reef, spacing up to ~65 cm), one short (mangrove, 10–20 cm)</t>
  </si>
  <si>
    <t xml:space="preserve">Camera mounts for the bar</t>
  </si>
  <si>
    <t xml:space="preserve">GoPro tripod adapter + 1/4" bolt, or bar clamp</t>
  </si>
  <si>
    <t xml:space="preserve">Cameras fixed at a known, measured spacing</t>
  </si>
  <si>
    <t xml:space="preserve">Scale bars</t>
  </si>
  <si>
    <t xml:space="preserve">Rods for scale bars, ~50 cm</t>
  </si>
  <si>
    <t xml:space="preserve">Rigid PVC or aluminium</t>
  </si>
  <si>
    <t xml:space="preserve">At least 6 per survey, plus 2 spare</t>
  </si>
  <si>
    <t xml:space="preserve">Agisoft coded targets, printed and laminated</t>
  </si>
  <si>
    <t xml:space="preserve">Printed from Metashape (Tools &gt; Markers &gt; Print Markers), waterproof lamination</t>
  </si>
  <si>
    <t xml:space="preserve">Two per bar, plus spares; unique codes, same target type for all</t>
  </si>
  <si>
    <t xml:space="preserve">Fixing material for targets</t>
  </si>
  <si>
    <t xml:space="preserve">Screws, epoxy or cable ties</t>
  </si>
  <si>
    <t xml:space="preserve">Target centres at a fixed, measured distance</t>
  </si>
  <si>
    <t xml:space="preserve">Underwater colour reference card</t>
  </si>
  <si>
    <t xml:space="preserve">Waterproof colour chart</t>
  </si>
  <si>
    <t xml:space="preserve">Optional, for colour correction in DaVinci Resolve</t>
  </si>
  <si>
    <t xml:space="preserve">Topography (mangrove)</t>
  </si>
  <si>
    <t xml:space="preserve">Clinometer</t>
  </si>
  <si>
    <t xml:space="preserve">Handheld clinometer, or phone app in a waterproof case</t>
  </si>
  <si>
    <t xml:space="preserve">Inclination of each segment and tree height</t>
  </si>
  <si>
    <t xml:space="preserve">Rigid plastic board, 60–100 cm</t>
  </si>
  <si>
    <t xml:space="preserve">e.g. small plastic whiteboard</t>
  </si>
  <si>
    <t xml:space="preserve">Laid on the ground under the clinometer</t>
  </si>
  <si>
    <t xml:space="preserve">Marker flags / station pegs</t>
  </si>
  <si>
    <t xml:space="preserve">Wire marker flags</t>
  </si>
  <si>
    <t xml:space="preserve">Stations at slope changes, at most 2 m apart</t>
  </si>
  <si>
    <t xml:space="preserve">Access to RTK GNSS (borrow or rent)</t>
  </si>
  <si>
    <t xml:space="preserve">Or a local benchmark</t>
  </si>
  <si>
    <t xml:space="preserve">Vertical datum tie at least once per site</t>
  </si>
  <si>
    <t xml:space="preserve">Mangrove structure (method B)</t>
  </si>
  <si>
    <t xml:space="preserve">Plain white board, ~2 m × 1 m</t>
  </si>
  <si>
    <t xml:space="preserve">Matt PVC foam or corrugated plastic board</t>
  </si>
  <si>
    <t xml:space="preserve">Background for root photos; mark 10 cm ticks on the edges</t>
  </si>
  <si>
    <t xml:space="preserve">Label cards and waterproof marker</t>
  </si>
  <si>
    <t xml:space="preserve">Tree ID, plot and direction in each photo</t>
  </si>
  <si>
    <t xml:space="preserve">Mangrove structure (methods B, C)</t>
  </si>
  <si>
    <t xml:space="preserve">Diameter tape (DBH)</t>
  </si>
  <si>
    <t xml:space="preserve">Forestry diameter tape</t>
  </si>
  <si>
    <t xml:space="preserve">Trunk diameter at breast height</t>
  </si>
  <si>
    <t xml:space="preserve">Caliper, 0–150 mm</t>
  </si>
  <si>
    <t xml:space="preserve">Vernier or digital (on land)</t>
  </si>
  <si>
    <t xml:space="preserve">Root and trunk diameters</t>
  </si>
  <si>
    <t xml:space="preserve">Measuring pole, 2 m</t>
  </si>
  <si>
    <t xml:space="preserve">Marked every 10 cm (survey staff or telescopic rod)</t>
  </si>
  <si>
    <t xml:space="preserve">Heights 25, 50, 75, 100 and 150 cm; root system height</t>
  </si>
  <si>
    <t xml:space="preserve">Mangrove structure (method C)</t>
  </si>
  <si>
    <t xml:space="preserve">Quadrat frame, 1 m × 1 m, folding</t>
  </si>
  <si>
    <t xml:space="preserve">PVC</t>
  </si>
  <si>
    <t xml:space="preserve">Pneumatophore counts; raised to each height in tangled stands</t>
  </si>
  <si>
    <t xml:space="preserve">Quadrat frame, 0.5 m × 0.5 m</t>
  </si>
  <si>
    <t xml:space="preserve">Very dense pneumatophores</t>
  </si>
  <si>
    <t xml:space="preserve">String, 30 m</t>
  </si>
  <si>
    <t xml:space="preserve">Bright, non-stretch</t>
  </si>
  <si>
    <t xml:space="preserve">Corners of the 5 m × 5 m plots</t>
  </si>
  <si>
    <t xml:space="preserve">Flagging tape</t>
  </si>
  <si>
    <t xml:space="preserve">Bright colour</t>
  </si>
  <si>
    <t xml:space="preserve">Mark sample trees and plot corners</t>
  </si>
  <si>
    <t xml:space="preserve">Rubber boots or mud shoes, gloves</t>
  </si>
  <si>
    <t xml:space="preserve">Seagrass</t>
  </si>
  <si>
    <t xml:space="preserve">Quadrat frame, 25 cm × 25 cm</t>
  </si>
  <si>
    <t xml:space="preserve">Rigid PVC, with marked points for shoot selection</t>
  </si>
  <si>
    <t xml:space="preserve">One spare</t>
  </si>
  <si>
    <t xml:space="preserve">Graduated stick, 2 m</t>
  </si>
  <si>
    <t xml:space="preserve">Marked in cm (PVC with tape scale)</t>
  </si>
  <si>
    <t xml:space="preserve">Water depth and canopy height</t>
  </si>
  <si>
    <t xml:space="preserve">Plastic ruler, 30 cm</t>
  </si>
  <si>
    <t xml:space="preserve">mm scale, fixed to the slate</t>
  </si>
  <si>
    <t xml:space="preserve">Blade length and width</t>
  </si>
  <si>
    <t xml:space="preserve">Plastic vernier caliper, 0–150 mm</t>
  </si>
  <si>
    <t xml:space="preserve">Plastic, 0.1 mm</t>
  </si>
  <si>
    <t xml:space="preserve">Thickness of a stack of blades</t>
  </si>
  <si>
    <t xml:space="preserve">Software</t>
  </si>
  <si>
    <t xml:space="preserve">Agisoft Metashape licence</t>
  </si>
  <si>
    <t xml:space="preserve">Professional edition</t>
  </si>
  <si>
    <t xml:space="preserve">Only if the partner processes the photos itself</t>
  </si>
  <si>
    <t xml:space="preserve">Total (items with a price)</t>
  </si>
  <si>
    <t xml:space="preserve">Items purchased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</si>
</sst>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4CC"/>
      </left>
      <right style="thin">
        <color rgb="FFB7C4CC"/>
      </right>
      <top style="thin">
        <color rgb="FFB7C4CC"/>
      </top>
      <bottom style="thin">
        <color rgb="FFB7C4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4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23.8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1" t="s">
        <v>4</v>
      </c>
    </row>
    <row r="7" customFormat="false" ht="35.05" hidden="false" customHeight="false" outlineLevel="0" collapsed="false">
      <c r="A7" s="2" t="s">
        <v>5</v>
      </c>
    </row>
    <row r="8" customFormat="false" ht="23.8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1" t="s">
        <v>7</v>
      </c>
    </row>
    <row r="11" customFormat="false" ht="15" hidden="false" customHeight="false" outlineLevel="0" collapsed="false">
      <c r="A11" s="2" t="s">
        <v>8</v>
      </c>
    </row>
    <row r="12" customFormat="false" ht="23.8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42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11"/>
  </cols>
  <sheetData>
    <row r="1" customFormat="false" ht="17.35" hidden="false" customHeight="false" outlineLevel="0" collapsed="false">
      <c r="A1" s="3" t="s">
        <v>12</v>
      </c>
    </row>
    <row r="2" customFormat="false" ht="15" hidden="false" customHeight="false" outlineLevel="0" collapsed="false">
      <c r="A2" s="4" t="s">
        <v>13</v>
      </c>
    </row>
    <row r="4" customFormat="false" ht="39.55" hidden="false" customHeight="false" outlineLevel="0" collapsed="false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5" t="s">
        <v>7</v>
      </c>
      <c r="H4" s="5" t="s">
        <v>20</v>
      </c>
      <c r="I4" s="5" t="s">
        <v>21</v>
      </c>
      <c r="J4" s="5" t="s">
        <v>22</v>
      </c>
      <c r="K4" s="5" t="s">
        <v>23</v>
      </c>
    </row>
    <row r="5" customFormat="false" ht="23.85" hidden="false" customHeight="false" outlineLevel="0" collapsed="false">
      <c r="A5" s="6" t="n">
        <v>1</v>
      </c>
      <c r="B5" s="7" t="s">
        <v>24</v>
      </c>
      <c r="C5" s="7" t="s">
        <v>25</v>
      </c>
      <c r="D5" s="6" t="s">
        <v>26</v>
      </c>
      <c r="E5" s="8" t="n">
        <v>2</v>
      </c>
      <c r="F5" s="6" t="s">
        <v>27</v>
      </c>
      <c r="G5" s="6" t="s">
        <v>28</v>
      </c>
      <c r="H5" s="9"/>
      <c r="I5" s="10" t="str">
        <f aca="false">IF(H5="","",E5*H5)</f>
        <v/>
      </c>
      <c r="J5" s="11"/>
      <c r="K5" s="11"/>
    </row>
    <row r="6" customFormat="false" ht="23.85" hidden="false" customHeight="false" outlineLevel="0" collapsed="false">
      <c r="A6" s="6" t="n">
        <v>2</v>
      </c>
      <c r="B6" s="6" t="s">
        <v>24</v>
      </c>
      <c r="C6" s="7" t="s">
        <v>29</v>
      </c>
      <c r="D6" s="6" t="s">
        <v>30</v>
      </c>
      <c r="E6" s="8" t="n">
        <v>1</v>
      </c>
      <c r="F6" s="6" t="s">
        <v>31</v>
      </c>
      <c r="G6" s="6" t="s">
        <v>32</v>
      </c>
      <c r="H6" s="9"/>
      <c r="I6" s="10" t="str">
        <f aca="false">IF(H6="","",E6*H6)</f>
        <v/>
      </c>
      <c r="J6" s="11"/>
      <c r="K6" s="11"/>
    </row>
    <row r="7" customFormat="false" ht="23.85" hidden="false" customHeight="false" outlineLevel="0" collapsed="false">
      <c r="A7" s="6" t="n">
        <v>3</v>
      </c>
      <c r="B7" s="6" t="s">
        <v>24</v>
      </c>
      <c r="C7" s="7" t="s">
        <v>33</v>
      </c>
      <c r="D7" s="6" t="s">
        <v>26</v>
      </c>
      <c r="E7" s="8" t="n">
        <v>1</v>
      </c>
      <c r="F7" s="6" t="s">
        <v>34</v>
      </c>
      <c r="G7" s="6" t="s">
        <v>35</v>
      </c>
      <c r="H7" s="9"/>
      <c r="I7" s="10" t="str">
        <f aca="false">IF(H7="","",E7*H7)</f>
        <v/>
      </c>
      <c r="J7" s="11"/>
      <c r="K7" s="11"/>
    </row>
    <row r="8" customFormat="false" ht="23.85" hidden="false" customHeight="false" outlineLevel="0" collapsed="false">
      <c r="A8" s="6" t="n">
        <v>4</v>
      </c>
      <c r="B8" s="6" t="s">
        <v>24</v>
      </c>
      <c r="C8" s="7" t="s">
        <v>36</v>
      </c>
      <c r="D8" s="6" t="s">
        <v>26</v>
      </c>
      <c r="E8" s="8" t="n">
        <v>1</v>
      </c>
      <c r="F8" s="6" t="s">
        <v>37</v>
      </c>
      <c r="G8" s="6" t="s">
        <v>38</v>
      </c>
      <c r="H8" s="9"/>
      <c r="I8" s="10" t="str">
        <f aca="false">IF(H8="","",E8*H8)</f>
        <v/>
      </c>
      <c r="J8" s="11"/>
      <c r="K8" s="11"/>
    </row>
    <row r="9" customFormat="false" ht="23.85" hidden="false" customHeight="false" outlineLevel="0" collapsed="false">
      <c r="A9" s="6" t="n">
        <v>5</v>
      </c>
      <c r="B9" s="6" t="s">
        <v>24</v>
      </c>
      <c r="C9" s="7" t="s">
        <v>39</v>
      </c>
      <c r="D9" s="6" t="s">
        <v>26</v>
      </c>
      <c r="E9" s="8" t="n">
        <v>2</v>
      </c>
      <c r="F9" s="6" t="s">
        <v>40</v>
      </c>
      <c r="G9" s="6" t="s">
        <v>41</v>
      </c>
      <c r="H9" s="9"/>
      <c r="I9" s="10" t="str">
        <f aca="false">IF(H9="","",E9*H9)</f>
        <v/>
      </c>
      <c r="J9" s="11"/>
      <c r="K9" s="11"/>
    </row>
    <row r="10" customFormat="false" ht="23.85" hidden="false" customHeight="false" outlineLevel="0" collapsed="false">
      <c r="A10" s="6" t="n">
        <v>6</v>
      </c>
      <c r="B10" s="6" t="s">
        <v>24</v>
      </c>
      <c r="C10" s="7" t="s">
        <v>42</v>
      </c>
      <c r="D10" s="6" t="s">
        <v>26</v>
      </c>
      <c r="E10" s="8" t="n">
        <v>3</v>
      </c>
      <c r="F10" s="6" t="s">
        <v>43</v>
      </c>
      <c r="G10" s="6" t="s">
        <v>44</v>
      </c>
      <c r="H10" s="9"/>
      <c r="I10" s="10" t="str">
        <f aca="false">IF(H10="","",E10*H10)</f>
        <v/>
      </c>
      <c r="J10" s="11"/>
      <c r="K10" s="11"/>
    </row>
    <row r="11" customFormat="false" ht="15" hidden="false" customHeight="false" outlineLevel="0" collapsed="false">
      <c r="A11" s="6" t="n">
        <v>7</v>
      </c>
      <c r="B11" s="6" t="s">
        <v>24</v>
      </c>
      <c r="C11" s="7" t="s">
        <v>45</v>
      </c>
      <c r="D11" s="6" t="s">
        <v>46</v>
      </c>
      <c r="E11" s="8" t="n">
        <v>2</v>
      </c>
      <c r="F11" s="6" t="s">
        <v>47</v>
      </c>
      <c r="G11" s="6" t="s">
        <v>48</v>
      </c>
      <c r="H11" s="9"/>
      <c r="I11" s="10" t="str">
        <f aca="false">IF(H11="","",E11*H11)</f>
        <v/>
      </c>
      <c r="J11" s="11"/>
      <c r="K11" s="11"/>
    </row>
    <row r="12" customFormat="false" ht="23.85" hidden="false" customHeight="false" outlineLevel="0" collapsed="false">
      <c r="A12" s="6" t="n">
        <v>8</v>
      </c>
      <c r="B12" s="6" t="s">
        <v>24</v>
      </c>
      <c r="C12" s="7" t="s">
        <v>49</v>
      </c>
      <c r="D12" s="6" t="s">
        <v>26</v>
      </c>
      <c r="E12" s="8" t="n">
        <v>10</v>
      </c>
      <c r="F12" s="6" t="s">
        <v>50</v>
      </c>
      <c r="G12" s="6" t="s">
        <v>51</v>
      </c>
      <c r="H12" s="9"/>
      <c r="I12" s="10" t="str">
        <f aca="false">IF(H12="","",E12*H12)</f>
        <v/>
      </c>
      <c r="J12" s="11"/>
      <c r="K12" s="11"/>
    </row>
    <row r="13" customFormat="false" ht="15" hidden="false" customHeight="false" outlineLevel="0" collapsed="false">
      <c r="A13" s="6" t="n">
        <v>9</v>
      </c>
      <c r="B13" s="6" t="s">
        <v>24</v>
      </c>
      <c r="C13" s="7" t="s">
        <v>52</v>
      </c>
      <c r="D13" s="6" t="s">
        <v>53</v>
      </c>
      <c r="E13" s="8" t="n">
        <v>6</v>
      </c>
      <c r="F13" s="6" t="s">
        <v>54</v>
      </c>
      <c r="G13" s="6" t="s">
        <v>55</v>
      </c>
      <c r="H13" s="9"/>
      <c r="I13" s="10" t="str">
        <f aca="false">IF(H13="","",E13*H13)</f>
        <v/>
      </c>
      <c r="J13" s="11"/>
      <c r="K13" s="11"/>
    </row>
    <row r="14" customFormat="false" ht="15" hidden="false" customHeight="false" outlineLevel="0" collapsed="false">
      <c r="A14" s="6" t="n">
        <v>10</v>
      </c>
      <c r="B14" s="6" t="s">
        <v>24</v>
      </c>
      <c r="C14" s="7" t="s">
        <v>56</v>
      </c>
      <c r="D14" s="6" t="s">
        <v>53</v>
      </c>
      <c r="E14" s="8" t="n">
        <v>2</v>
      </c>
      <c r="F14" s="6" t="s">
        <v>57</v>
      </c>
      <c r="G14" s="6" t="s">
        <v>58</v>
      </c>
      <c r="H14" s="9"/>
      <c r="I14" s="10" t="str">
        <f aca="false">IF(H14="","",E14*H14)</f>
        <v/>
      </c>
      <c r="J14" s="11"/>
      <c r="K14" s="11"/>
    </row>
    <row r="15" customFormat="false" ht="15" hidden="false" customHeight="false" outlineLevel="0" collapsed="false">
      <c r="A15" s="6" t="n">
        <v>11</v>
      </c>
      <c r="B15" s="6" t="s">
        <v>24</v>
      </c>
      <c r="C15" s="7" t="s">
        <v>59</v>
      </c>
      <c r="D15" s="6" t="s">
        <v>53</v>
      </c>
      <c r="E15" s="8" t="n">
        <v>1</v>
      </c>
      <c r="F15" s="6" t="s">
        <v>60</v>
      </c>
      <c r="G15" s="6" t="s">
        <v>61</v>
      </c>
      <c r="H15" s="9"/>
      <c r="I15" s="10" t="str">
        <f aca="false">IF(H15="","",E15*H15)</f>
        <v/>
      </c>
      <c r="J15" s="11"/>
      <c r="K15" s="11"/>
    </row>
    <row r="16" customFormat="false" ht="23.85" hidden="false" customHeight="false" outlineLevel="0" collapsed="false">
      <c r="A16" s="6" t="n">
        <v>12</v>
      </c>
      <c r="B16" s="6" t="s">
        <v>24</v>
      </c>
      <c r="C16" s="7" t="s">
        <v>62</v>
      </c>
      <c r="D16" s="6" t="s">
        <v>26</v>
      </c>
      <c r="E16" s="8" t="n">
        <v>1</v>
      </c>
      <c r="F16" s="6" t="s">
        <v>63</v>
      </c>
      <c r="G16" s="6" t="s">
        <v>64</v>
      </c>
      <c r="H16" s="9"/>
      <c r="I16" s="10" t="str">
        <f aca="false">IF(H16="","",E16*H16)</f>
        <v/>
      </c>
      <c r="J16" s="11"/>
      <c r="K16" s="11"/>
    </row>
    <row r="17" customFormat="false" ht="23.85" hidden="false" customHeight="false" outlineLevel="0" collapsed="false">
      <c r="A17" s="6" t="n">
        <v>13</v>
      </c>
      <c r="B17" s="7" t="s">
        <v>65</v>
      </c>
      <c r="C17" s="7" t="s">
        <v>66</v>
      </c>
      <c r="D17" s="6" t="s">
        <v>67</v>
      </c>
      <c r="E17" s="8" t="n">
        <v>2</v>
      </c>
      <c r="F17" s="6" t="s">
        <v>68</v>
      </c>
      <c r="G17" s="6" t="s">
        <v>69</v>
      </c>
      <c r="H17" s="9"/>
      <c r="I17" s="10" t="str">
        <f aca="false">IF(H17="","",E17*H17)</f>
        <v/>
      </c>
      <c r="J17" s="11"/>
      <c r="K17" s="11"/>
    </row>
    <row r="18" customFormat="false" ht="15" hidden="false" customHeight="false" outlineLevel="0" collapsed="false">
      <c r="A18" s="6" t="n">
        <v>14</v>
      </c>
      <c r="B18" s="6" t="s">
        <v>65</v>
      </c>
      <c r="C18" s="7" t="s">
        <v>70</v>
      </c>
      <c r="D18" s="6" t="s">
        <v>71</v>
      </c>
      <c r="E18" s="8" t="n">
        <v>2</v>
      </c>
      <c r="F18" s="6" t="s">
        <v>72</v>
      </c>
      <c r="G18" s="6" t="s">
        <v>73</v>
      </c>
      <c r="H18" s="9"/>
      <c r="I18" s="10" t="str">
        <f aca="false">IF(H18="","",E18*H18)</f>
        <v/>
      </c>
      <c r="J18" s="11"/>
      <c r="K18" s="11"/>
    </row>
    <row r="19" customFormat="false" ht="15" hidden="false" customHeight="false" outlineLevel="0" collapsed="false">
      <c r="A19" s="6" t="n">
        <v>15</v>
      </c>
      <c r="B19" s="6" t="s">
        <v>65</v>
      </c>
      <c r="C19" s="7" t="s">
        <v>74</v>
      </c>
      <c r="D19" s="6" t="s">
        <v>71</v>
      </c>
      <c r="E19" s="8" t="n">
        <v>2</v>
      </c>
      <c r="F19" s="6" t="s">
        <v>75</v>
      </c>
      <c r="G19" s="6" t="s">
        <v>76</v>
      </c>
      <c r="H19" s="9"/>
      <c r="I19" s="10" t="str">
        <f aca="false">IF(H19="","",E19*H19)</f>
        <v/>
      </c>
      <c r="J19" s="11"/>
      <c r="K19" s="11"/>
    </row>
    <row r="20" customFormat="false" ht="23.85" hidden="false" customHeight="false" outlineLevel="0" collapsed="false">
      <c r="A20" s="6" t="n">
        <v>16</v>
      </c>
      <c r="B20" s="6" t="s">
        <v>65</v>
      </c>
      <c r="C20" s="7" t="s">
        <v>77</v>
      </c>
      <c r="D20" s="6" t="s">
        <v>26</v>
      </c>
      <c r="E20" s="8" t="n">
        <v>4</v>
      </c>
      <c r="F20" s="6" t="s">
        <v>78</v>
      </c>
      <c r="G20" s="6" t="s">
        <v>79</v>
      </c>
      <c r="H20" s="9"/>
      <c r="I20" s="10" t="str">
        <f aca="false">IF(H20="","",E20*H20)</f>
        <v/>
      </c>
      <c r="J20" s="11"/>
      <c r="K20" s="11"/>
    </row>
    <row r="21" customFormat="false" ht="23.85" hidden="false" customHeight="false" outlineLevel="0" collapsed="false">
      <c r="A21" s="6" t="n">
        <v>17</v>
      </c>
      <c r="B21" s="6" t="s">
        <v>65</v>
      </c>
      <c r="C21" s="7" t="s">
        <v>80</v>
      </c>
      <c r="D21" s="6" t="s">
        <v>26</v>
      </c>
      <c r="E21" s="8" t="n">
        <v>4</v>
      </c>
      <c r="F21" s="6" t="s">
        <v>81</v>
      </c>
      <c r="G21" s="6" t="s">
        <v>82</v>
      </c>
      <c r="H21" s="9"/>
      <c r="I21" s="10" t="str">
        <f aca="false">IF(H21="","",E21*H21)</f>
        <v/>
      </c>
      <c r="J21" s="11"/>
      <c r="K21" s="11"/>
    </row>
    <row r="22" customFormat="false" ht="23.85" hidden="false" customHeight="false" outlineLevel="0" collapsed="false">
      <c r="A22" s="6" t="n">
        <v>18</v>
      </c>
      <c r="B22" s="6" t="s">
        <v>65</v>
      </c>
      <c r="C22" s="7" t="s">
        <v>83</v>
      </c>
      <c r="D22" s="6" t="s">
        <v>26</v>
      </c>
      <c r="E22" s="8" t="n">
        <v>1</v>
      </c>
      <c r="F22" s="6" t="s">
        <v>84</v>
      </c>
      <c r="G22" s="6"/>
      <c r="H22" s="9"/>
      <c r="I22" s="10" t="str">
        <f aca="false">IF(H22="","",E22*H22)</f>
        <v/>
      </c>
      <c r="J22" s="11"/>
      <c r="K22" s="11"/>
    </row>
    <row r="23" customFormat="false" ht="15" hidden="false" customHeight="false" outlineLevel="0" collapsed="false">
      <c r="A23" s="6" t="n">
        <v>19</v>
      </c>
      <c r="B23" s="6" t="s">
        <v>65</v>
      </c>
      <c r="C23" s="7" t="s">
        <v>85</v>
      </c>
      <c r="D23" s="6" t="s">
        <v>71</v>
      </c>
      <c r="E23" s="8" t="n">
        <v>1</v>
      </c>
      <c r="F23" s="6" t="s">
        <v>86</v>
      </c>
      <c r="G23" s="6" t="s">
        <v>87</v>
      </c>
      <c r="H23" s="9"/>
      <c r="I23" s="10" t="str">
        <f aca="false">IF(H23="","",E23*H23)</f>
        <v/>
      </c>
      <c r="J23" s="11"/>
      <c r="K23" s="11"/>
    </row>
    <row r="24" customFormat="false" ht="23.85" hidden="false" customHeight="false" outlineLevel="0" collapsed="false">
      <c r="A24" s="6" t="n">
        <v>20</v>
      </c>
      <c r="B24" s="7" t="s">
        <v>88</v>
      </c>
      <c r="C24" s="7" t="s">
        <v>89</v>
      </c>
      <c r="D24" s="6" t="s">
        <v>67</v>
      </c>
      <c r="E24" s="8" t="n">
        <v>2</v>
      </c>
      <c r="F24" s="6" t="s">
        <v>90</v>
      </c>
      <c r="G24" s="6" t="s">
        <v>91</v>
      </c>
      <c r="H24" s="9"/>
      <c r="I24" s="10" t="str">
        <f aca="false">IF(H24="","",E24*H24)</f>
        <v/>
      </c>
      <c r="J24" s="11"/>
      <c r="K24" s="11"/>
    </row>
    <row r="25" customFormat="false" ht="23.85" hidden="false" customHeight="false" outlineLevel="0" collapsed="false">
      <c r="A25" s="6" t="n">
        <v>21</v>
      </c>
      <c r="B25" s="6" t="s">
        <v>88</v>
      </c>
      <c r="C25" s="7" t="s">
        <v>92</v>
      </c>
      <c r="D25" s="6" t="s">
        <v>67</v>
      </c>
      <c r="E25" s="8" t="n">
        <v>4</v>
      </c>
      <c r="F25" s="6" t="s">
        <v>93</v>
      </c>
      <c r="G25" s="6" t="s">
        <v>94</v>
      </c>
      <c r="H25" s="9"/>
      <c r="I25" s="10" t="str">
        <f aca="false">IF(H25="","",E25*H25)</f>
        <v/>
      </c>
      <c r="J25" s="11"/>
      <c r="K25" s="11"/>
    </row>
    <row r="26" customFormat="false" ht="15" hidden="false" customHeight="false" outlineLevel="0" collapsed="false">
      <c r="A26" s="6" t="n">
        <v>22</v>
      </c>
      <c r="B26" s="7" t="s">
        <v>95</v>
      </c>
      <c r="C26" s="7" t="s">
        <v>96</v>
      </c>
      <c r="D26" s="6" t="s">
        <v>67</v>
      </c>
      <c r="E26" s="8" t="n">
        <v>8</v>
      </c>
      <c r="F26" s="6" t="s">
        <v>97</v>
      </c>
      <c r="G26" s="6" t="s">
        <v>98</v>
      </c>
      <c r="H26" s="9"/>
      <c r="I26" s="10" t="str">
        <f aca="false">IF(H26="","",E26*H26)</f>
        <v/>
      </c>
      <c r="J26" s="11"/>
      <c r="K26" s="11"/>
    </row>
    <row r="27" customFormat="false" ht="23.85" hidden="false" customHeight="false" outlineLevel="0" collapsed="false">
      <c r="A27" s="6" t="n">
        <v>23</v>
      </c>
      <c r="B27" s="6" t="s">
        <v>95</v>
      </c>
      <c r="C27" s="7" t="s">
        <v>99</v>
      </c>
      <c r="D27" s="6" t="s">
        <v>67</v>
      </c>
      <c r="E27" s="8" t="n">
        <v>20</v>
      </c>
      <c r="F27" s="6" t="s">
        <v>100</v>
      </c>
      <c r="G27" s="6" t="s">
        <v>101</v>
      </c>
      <c r="H27" s="9"/>
      <c r="I27" s="10" t="str">
        <f aca="false">IF(H27="","",E27*H27)</f>
        <v/>
      </c>
      <c r="J27" s="11"/>
      <c r="K27" s="11"/>
    </row>
    <row r="28" customFormat="false" ht="15" hidden="false" customHeight="false" outlineLevel="0" collapsed="false">
      <c r="A28" s="6" t="n">
        <v>24</v>
      </c>
      <c r="B28" s="6" t="s">
        <v>95</v>
      </c>
      <c r="C28" s="7" t="s">
        <v>102</v>
      </c>
      <c r="D28" s="6" t="s">
        <v>67</v>
      </c>
      <c r="E28" s="8" t="n">
        <v>1</v>
      </c>
      <c r="F28" s="6" t="s">
        <v>103</v>
      </c>
      <c r="G28" s="6" t="s">
        <v>104</v>
      </c>
      <c r="H28" s="9"/>
      <c r="I28" s="10" t="str">
        <f aca="false">IF(H28="","",E28*H28)</f>
        <v/>
      </c>
      <c r="J28" s="11"/>
      <c r="K28" s="11"/>
    </row>
    <row r="29" customFormat="false" ht="15" hidden="false" customHeight="false" outlineLevel="0" collapsed="false">
      <c r="A29" s="6" t="n">
        <v>25</v>
      </c>
      <c r="B29" s="6" t="s">
        <v>95</v>
      </c>
      <c r="C29" s="7" t="s">
        <v>105</v>
      </c>
      <c r="D29" s="6" t="s">
        <v>71</v>
      </c>
      <c r="E29" s="8" t="n">
        <v>1</v>
      </c>
      <c r="F29" s="6" t="s">
        <v>106</v>
      </c>
      <c r="G29" s="6" t="s">
        <v>107</v>
      </c>
      <c r="H29" s="9"/>
      <c r="I29" s="10" t="str">
        <f aca="false">IF(H29="","",E29*H29)</f>
        <v/>
      </c>
      <c r="J29" s="11"/>
      <c r="K29" s="11"/>
    </row>
    <row r="30" customFormat="false" ht="23.85" hidden="false" customHeight="false" outlineLevel="0" collapsed="false">
      <c r="A30" s="6" t="n">
        <v>26</v>
      </c>
      <c r="B30" s="7" t="s">
        <v>108</v>
      </c>
      <c r="C30" s="7" t="s">
        <v>109</v>
      </c>
      <c r="D30" s="6" t="s">
        <v>46</v>
      </c>
      <c r="E30" s="8" t="n">
        <v>1</v>
      </c>
      <c r="F30" s="6" t="s">
        <v>110</v>
      </c>
      <c r="G30" s="6" t="s">
        <v>111</v>
      </c>
      <c r="H30" s="9"/>
      <c r="I30" s="10" t="str">
        <f aca="false">IF(H30="","",E30*H30)</f>
        <v/>
      </c>
      <c r="J30" s="11"/>
      <c r="K30" s="11"/>
    </row>
    <row r="31" customFormat="false" ht="15" hidden="false" customHeight="false" outlineLevel="0" collapsed="false">
      <c r="A31" s="6" t="n">
        <v>27</v>
      </c>
      <c r="B31" s="6" t="s">
        <v>108</v>
      </c>
      <c r="C31" s="7" t="s">
        <v>112</v>
      </c>
      <c r="D31" s="6" t="s">
        <v>46</v>
      </c>
      <c r="E31" s="8" t="n">
        <v>1</v>
      </c>
      <c r="F31" s="6" t="s">
        <v>113</v>
      </c>
      <c r="G31" s="6" t="s">
        <v>114</v>
      </c>
      <c r="H31" s="9"/>
      <c r="I31" s="10" t="str">
        <f aca="false">IF(H31="","",E31*H31)</f>
        <v/>
      </c>
      <c r="J31" s="11"/>
      <c r="K31" s="11"/>
    </row>
    <row r="32" customFormat="false" ht="15" hidden="false" customHeight="false" outlineLevel="0" collapsed="false">
      <c r="A32" s="6" t="n">
        <v>28</v>
      </c>
      <c r="B32" s="6" t="s">
        <v>108</v>
      </c>
      <c r="C32" s="7" t="s">
        <v>115</v>
      </c>
      <c r="D32" s="6" t="s">
        <v>46</v>
      </c>
      <c r="E32" s="8" t="n">
        <v>30</v>
      </c>
      <c r="F32" s="6" t="s">
        <v>116</v>
      </c>
      <c r="G32" s="6" t="s">
        <v>117</v>
      </c>
      <c r="H32" s="9"/>
      <c r="I32" s="10" t="str">
        <f aca="false">IF(H32="","",E32*H32)</f>
        <v/>
      </c>
      <c r="J32" s="11"/>
      <c r="K32" s="11"/>
    </row>
    <row r="33" customFormat="false" ht="15" hidden="false" customHeight="false" outlineLevel="0" collapsed="false">
      <c r="A33" s="6" t="n">
        <v>29</v>
      </c>
      <c r="B33" s="6" t="s">
        <v>108</v>
      </c>
      <c r="C33" s="7" t="s">
        <v>118</v>
      </c>
      <c r="D33" s="6" t="s">
        <v>46</v>
      </c>
      <c r="E33" s="8" t="n">
        <v>1</v>
      </c>
      <c r="F33" s="6" t="s">
        <v>119</v>
      </c>
      <c r="G33" s="6" t="s">
        <v>120</v>
      </c>
      <c r="H33" s="9"/>
      <c r="I33" s="10" t="str">
        <f aca="false">IF(H33="","",E33*H33)</f>
        <v/>
      </c>
      <c r="J33" s="11"/>
      <c r="K33" s="11"/>
    </row>
    <row r="34" customFormat="false" ht="23.85" hidden="false" customHeight="false" outlineLevel="0" collapsed="false">
      <c r="A34" s="6" t="n">
        <v>30</v>
      </c>
      <c r="B34" s="7" t="s">
        <v>121</v>
      </c>
      <c r="C34" s="7" t="s">
        <v>122</v>
      </c>
      <c r="D34" s="6" t="s">
        <v>46</v>
      </c>
      <c r="E34" s="8" t="n">
        <v>1</v>
      </c>
      <c r="F34" s="6" t="s">
        <v>123</v>
      </c>
      <c r="G34" s="6" t="s">
        <v>124</v>
      </c>
      <c r="H34" s="9"/>
      <c r="I34" s="10" t="str">
        <f aca="false">IF(H34="","",E34*H34)</f>
        <v/>
      </c>
      <c r="J34" s="11"/>
      <c r="K34" s="11"/>
    </row>
    <row r="35" customFormat="false" ht="23.85" hidden="false" customHeight="false" outlineLevel="0" collapsed="false">
      <c r="A35" s="6" t="n">
        <v>31</v>
      </c>
      <c r="B35" s="6" t="s">
        <v>121</v>
      </c>
      <c r="C35" s="7" t="s">
        <v>125</v>
      </c>
      <c r="D35" s="6" t="s">
        <v>46</v>
      </c>
      <c r="E35" s="8" t="n">
        <v>1</v>
      </c>
      <c r="F35" s="6" t="s">
        <v>63</v>
      </c>
      <c r="G35" s="6" t="s">
        <v>126</v>
      </c>
      <c r="H35" s="9"/>
      <c r="I35" s="10" t="str">
        <f aca="false">IF(H35="","",E35*H35)</f>
        <v/>
      </c>
      <c r="J35" s="11"/>
      <c r="K35" s="11"/>
    </row>
    <row r="36" customFormat="false" ht="23.85" hidden="false" customHeight="false" outlineLevel="0" collapsed="false">
      <c r="A36" s="6" t="n">
        <v>32</v>
      </c>
      <c r="B36" s="7" t="s">
        <v>127</v>
      </c>
      <c r="C36" s="7" t="s">
        <v>128</v>
      </c>
      <c r="D36" s="6" t="s">
        <v>46</v>
      </c>
      <c r="E36" s="8" t="n">
        <v>1</v>
      </c>
      <c r="F36" s="6" t="s">
        <v>129</v>
      </c>
      <c r="G36" s="6" t="s">
        <v>130</v>
      </c>
      <c r="H36" s="9"/>
      <c r="I36" s="10" t="str">
        <f aca="false">IF(H36="","",E36*H36)</f>
        <v/>
      </c>
      <c r="J36" s="11"/>
      <c r="K36" s="11"/>
    </row>
    <row r="37" customFormat="false" ht="23.85" hidden="false" customHeight="false" outlineLevel="0" collapsed="false">
      <c r="A37" s="6" t="n">
        <v>33</v>
      </c>
      <c r="B37" s="6" t="s">
        <v>127</v>
      </c>
      <c r="C37" s="7" t="s">
        <v>131</v>
      </c>
      <c r="D37" s="6" t="s">
        <v>46</v>
      </c>
      <c r="E37" s="8" t="n">
        <v>1</v>
      </c>
      <c r="F37" s="6" t="s">
        <v>132</v>
      </c>
      <c r="G37" s="6" t="s">
        <v>133</v>
      </c>
      <c r="H37" s="9"/>
      <c r="I37" s="10" t="str">
        <f aca="false">IF(H37="","",E37*H37)</f>
        <v/>
      </c>
      <c r="J37" s="11"/>
      <c r="K37" s="11"/>
    </row>
    <row r="38" customFormat="false" ht="23.85" hidden="false" customHeight="false" outlineLevel="0" collapsed="false">
      <c r="A38" s="6" t="n">
        <v>34</v>
      </c>
      <c r="B38" s="6" t="s">
        <v>127</v>
      </c>
      <c r="C38" s="7" t="s">
        <v>134</v>
      </c>
      <c r="D38" s="6" t="s">
        <v>46</v>
      </c>
      <c r="E38" s="8" t="n">
        <v>1</v>
      </c>
      <c r="F38" s="6" t="s">
        <v>135</v>
      </c>
      <c r="G38" s="6" t="s">
        <v>136</v>
      </c>
      <c r="H38" s="9"/>
      <c r="I38" s="10" t="str">
        <f aca="false">IF(H38="","",E38*H38)</f>
        <v/>
      </c>
      <c r="J38" s="11"/>
      <c r="K38" s="11"/>
    </row>
    <row r="39" customFormat="false" ht="23.85" hidden="false" customHeight="false" outlineLevel="0" collapsed="false">
      <c r="A39" s="6" t="n">
        <v>35</v>
      </c>
      <c r="B39" s="7" t="s">
        <v>137</v>
      </c>
      <c r="C39" s="7" t="s">
        <v>138</v>
      </c>
      <c r="D39" s="6" t="s">
        <v>46</v>
      </c>
      <c r="E39" s="8" t="n">
        <v>1</v>
      </c>
      <c r="F39" s="6" t="s">
        <v>139</v>
      </c>
      <c r="G39" s="6" t="s">
        <v>140</v>
      </c>
      <c r="H39" s="9"/>
      <c r="I39" s="10" t="str">
        <f aca="false">IF(H39="","",E39*H39)</f>
        <v/>
      </c>
      <c r="J39" s="11"/>
      <c r="K39" s="11"/>
    </row>
    <row r="40" customFormat="false" ht="23.85" hidden="false" customHeight="false" outlineLevel="0" collapsed="false">
      <c r="A40" s="6" t="n">
        <v>36</v>
      </c>
      <c r="B40" s="6" t="s">
        <v>137</v>
      </c>
      <c r="C40" s="7" t="s">
        <v>141</v>
      </c>
      <c r="D40" s="6" t="s">
        <v>46</v>
      </c>
      <c r="E40" s="8" t="n">
        <v>1</v>
      </c>
      <c r="F40" s="6" t="s">
        <v>139</v>
      </c>
      <c r="G40" s="6" t="s">
        <v>142</v>
      </c>
      <c r="H40" s="9"/>
      <c r="I40" s="10" t="str">
        <f aca="false">IF(H40="","",E40*H40)</f>
        <v/>
      </c>
      <c r="J40" s="11"/>
      <c r="K40" s="11"/>
    </row>
    <row r="41" customFormat="false" ht="23.85" hidden="false" customHeight="false" outlineLevel="0" collapsed="false">
      <c r="A41" s="6" t="n">
        <v>37</v>
      </c>
      <c r="B41" s="6" t="s">
        <v>137</v>
      </c>
      <c r="C41" s="7" t="s">
        <v>143</v>
      </c>
      <c r="D41" s="6" t="s">
        <v>46</v>
      </c>
      <c r="E41" s="8" t="n">
        <v>1</v>
      </c>
      <c r="F41" s="6" t="s">
        <v>144</v>
      </c>
      <c r="G41" s="6" t="s">
        <v>145</v>
      </c>
      <c r="H41" s="9"/>
      <c r="I41" s="10" t="str">
        <f aca="false">IF(H41="","",E41*H41)</f>
        <v/>
      </c>
      <c r="J41" s="11"/>
      <c r="K41" s="11"/>
    </row>
    <row r="42" customFormat="false" ht="23.85" hidden="false" customHeight="false" outlineLevel="0" collapsed="false">
      <c r="A42" s="6" t="n">
        <v>38</v>
      </c>
      <c r="B42" s="6" t="s">
        <v>137</v>
      </c>
      <c r="C42" s="7" t="s">
        <v>146</v>
      </c>
      <c r="D42" s="6" t="s">
        <v>46</v>
      </c>
      <c r="E42" s="8" t="n">
        <v>2</v>
      </c>
      <c r="F42" s="6" t="s">
        <v>147</v>
      </c>
      <c r="G42" s="6" t="s">
        <v>148</v>
      </c>
      <c r="H42" s="9"/>
      <c r="I42" s="10" t="str">
        <f aca="false">IF(H42="","",E42*H42)</f>
        <v/>
      </c>
      <c r="J42" s="11"/>
      <c r="K42" s="11"/>
    </row>
    <row r="43" customFormat="false" ht="23.85" hidden="false" customHeight="false" outlineLevel="0" collapsed="false">
      <c r="A43" s="6" t="n">
        <v>39</v>
      </c>
      <c r="B43" s="6" t="s">
        <v>137</v>
      </c>
      <c r="C43" s="7" t="s">
        <v>149</v>
      </c>
      <c r="D43" s="6" t="s">
        <v>46</v>
      </c>
      <c r="E43" s="8" t="n">
        <v>2</v>
      </c>
      <c r="F43" s="6" t="s">
        <v>57</v>
      </c>
      <c r="G43" s="6" t="s">
        <v>58</v>
      </c>
      <c r="H43" s="9"/>
      <c r="I43" s="10" t="str">
        <f aca="false">IF(H43="","",E43*H43)</f>
        <v/>
      </c>
      <c r="J43" s="11"/>
      <c r="K43" s="11"/>
    </row>
    <row r="44" customFormat="false" ht="23.85" hidden="false" customHeight="false" outlineLevel="0" collapsed="false">
      <c r="A44" s="6" t="n">
        <v>40</v>
      </c>
      <c r="B44" s="7" t="s">
        <v>150</v>
      </c>
      <c r="C44" s="7" t="s">
        <v>151</v>
      </c>
      <c r="D44" s="6" t="s">
        <v>150</v>
      </c>
      <c r="E44" s="8" t="n">
        <v>2</v>
      </c>
      <c r="F44" s="6" t="s">
        <v>152</v>
      </c>
      <c r="G44" s="6" t="s">
        <v>153</v>
      </c>
      <c r="H44" s="9"/>
      <c r="I44" s="10" t="str">
        <f aca="false">IF(H44="","",E44*H44)</f>
        <v/>
      </c>
      <c r="J44" s="11"/>
      <c r="K44" s="11"/>
    </row>
    <row r="45" customFormat="false" ht="15" hidden="false" customHeight="false" outlineLevel="0" collapsed="false">
      <c r="A45" s="6" t="n">
        <v>41</v>
      </c>
      <c r="B45" s="6" t="s">
        <v>150</v>
      </c>
      <c r="C45" s="7" t="s">
        <v>154</v>
      </c>
      <c r="D45" s="6" t="s">
        <v>150</v>
      </c>
      <c r="E45" s="8" t="n">
        <v>1</v>
      </c>
      <c r="F45" s="6" t="s">
        <v>155</v>
      </c>
      <c r="G45" s="6" t="s">
        <v>156</v>
      </c>
      <c r="H45" s="9"/>
      <c r="I45" s="10" t="str">
        <f aca="false">IF(H45="","",E45*H45)</f>
        <v/>
      </c>
      <c r="J45" s="11"/>
      <c r="K45" s="11"/>
    </row>
    <row r="46" customFormat="false" ht="15" hidden="false" customHeight="false" outlineLevel="0" collapsed="false">
      <c r="A46" s="6" t="n">
        <v>42</v>
      </c>
      <c r="B46" s="6" t="s">
        <v>150</v>
      </c>
      <c r="C46" s="7" t="s">
        <v>157</v>
      </c>
      <c r="D46" s="6" t="s">
        <v>150</v>
      </c>
      <c r="E46" s="8" t="n">
        <v>2</v>
      </c>
      <c r="F46" s="6" t="s">
        <v>158</v>
      </c>
      <c r="G46" s="6" t="s">
        <v>159</v>
      </c>
      <c r="H46" s="9"/>
      <c r="I46" s="10" t="str">
        <f aca="false">IF(H46="","",E46*H46)</f>
        <v/>
      </c>
      <c r="J46" s="11"/>
      <c r="K46" s="11"/>
    </row>
    <row r="47" customFormat="false" ht="15" hidden="false" customHeight="false" outlineLevel="0" collapsed="false">
      <c r="A47" s="6" t="n">
        <v>43</v>
      </c>
      <c r="B47" s="6" t="s">
        <v>150</v>
      </c>
      <c r="C47" s="7" t="s">
        <v>160</v>
      </c>
      <c r="D47" s="6" t="s">
        <v>150</v>
      </c>
      <c r="E47" s="8" t="n">
        <v>2</v>
      </c>
      <c r="F47" s="6" t="s">
        <v>161</v>
      </c>
      <c r="G47" s="6" t="s">
        <v>162</v>
      </c>
      <c r="H47" s="9"/>
      <c r="I47" s="10" t="str">
        <f aca="false">IF(H47="","",E47*H47)</f>
        <v/>
      </c>
      <c r="J47" s="11"/>
      <c r="K47" s="11"/>
    </row>
    <row r="48" customFormat="false" ht="15" hidden="false" customHeight="false" outlineLevel="0" collapsed="false">
      <c r="A48" s="6" t="n">
        <v>44</v>
      </c>
      <c r="B48" s="7" t="s">
        <v>163</v>
      </c>
      <c r="C48" s="7" t="s">
        <v>164</v>
      </c>
      <c r="D48" s="6" t="s">
        <v>67</v>
      </c>
      <c r="E48" s="8" t="n">
        <v>1</v>
      </c>
      <c r="F48" s="6" t="s">
        <v>165</v>
      </c>
      <c r="G48" s="6" t="s">
        <v>166</v>
      </c>
      <c r="H48" s="9"/>
      <c r="I48" s="10" t="str">
        <f aca="false">IF(H48="","",E48*H48)</f>
        <v/>
      </c>
      <c r="J48" s="11"/>
      <c r="K48" s="11"/>
    </row>
    <row r="49" customFormat="false" ht="15" hidden="false" customHeight="false" outlineLevel="0" collapsed="false">
      <c r="G49" s="12" t="s">
        <v>167</v>
      </c>
      <c r="I49" s="13" t="n">
        <f aca="false">SUM(I5:I48)</f>
        <v>0</v>
      </c>
    </row>
    <row r="50" customFormat="false" ht="15" hidden="false" customHeight="false" outlineLevel="0" collapsed="false">
      <c r="G50" s="12" t="s">
        <v>168</v>
      </c>
      <c r="I50" s="12" t="str">
        <f aca="false">COUNTIF(K5:K48,"Y")&amp;" of "&amp;COUNTA(C5:C48)</f>
        <v>0 of 44</v>
      </c>
    </row>
  </sheetData>
  <autoFilter ref="A4:K48"/>
  <dataValidations count="1">
    <dataValidation allowBlank="true" errorStyle="stop" operator="between" showDropDown="false" showErrorMessage="false" showInputMessage="false" sqref="K5:K48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2026-10-14T09:58:27Z</dcterms:created>
  <dc:creator>openpyxl</dc:creator>
  <dc:description/>
  <dc:language>en-US</dc:language>
  <cp:lastModifiedBy/>
  <dcterms:modified xsi:type="dcterms:W3CDTF">2026-10-14T09:58:27Z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